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ilanen/Dropbox (Personal)/notebooks/trading/"/>
    </mc:Choice>
  </mc:AlternateContent>
  <xr:revisionPtr revIDLastSave="0" documentId="13_ncr:1_{A7AADD20-2643-9B4F-8BE7-F0AD6AAA414A}" xr6:coauthVersionLast="47" xr6:coauthVersionMax="47" xr10:uidLastSave="{00000000-0000-0000-0000-000000000000}"/>
  <bookViews>
    <workbookView xWindow="4680" yWindow="5180" windowWidth="29680" windowHeight="16440" xr2:uid="{837277D7-BDBB-4949-8C6F-EC6884D3E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E62" i="1"/>
  <c r="E61" i="1"/>
  <c r="D61" i="1"/>
  <c r="C61" i="1"/>
  <c r="E59" i="1"/>
  <c r="E60" i="1"/>
  <c r="D59" i="1"/>
  <c r="E58" i="1"/>
  <c r="E57" i="1"/>
  <c r="C57" i="1"/>
  <c r="E56" i="1"/>
  <c r="C56" i="1"/>
  <c r="E55" i="1"/>
  <c r="D55" i="1"/>
  <c r="E54" i="1" l="1"/>
  <c r="E53" i="1"/>
  <c r="E52" i="1"/>
  <c r="E51" i="1"/>
  <c r="E50" i="1"/>
  <c r="E49" i="1"/>
  <c r="E48" i="1"/>
  <c r="E47" i="1"/>
  <c r="D46" i="1"/>
  <c r="E46" i="1"/>
  <c r="E45" i="1"/>
  <c r="E44" i="1"/>
  <c r="E43" i="1"/>
  <c r="C42" i="1"/>
  <c r="E42" i="1" s="1"/>
  <c r="E41" i="1"/>
  <c r="E40" i="1"/>
  <c r="E39" i="1"/>
  <c r="C39" i="1"/>
  <c r="E38" i="1"/>
  <c r="E37" i="1"/>
  <c r="C36" i="1"/>
  <c r="E36" i="1"/>
  <c r="C35" i="1"/>
  <c r="E35" i="1" s="1"/>
  <c r="E34" i="1"/>
  <c r="E33" i="1"/>
  <c r="D32" i="1"/>
  <c r="E32" i="1"/>
  <c r="D31" i="1"/>
  <c r="E31" i="1" s="1"/>
  <c r="E30" i="1"/>
  <c r="E29" i="1"/>
  <c r="E28" i="1"/>
  <c r="E27" i="1"/>
  <c r="D26" i="1"/>
  <c r="E26" i="1" s="1"/>
  <c r="I4" i="1" l="1"/>
  <c r="E25" i="1"/>
  <c r="E24" i="1"/>
  <c r="E23" i="1"/>
  <c r="C20" i="1"/>
  <c r="C19" i="1"/>
  <c r="E19" i="1" s="1"/>
  <c r="K11" i="1"/>
  <c r="R11" i="1" s="1"/>
  <c r="S12" i="1" s="1"/>
  <c r="N12" i="1"/>
  <c r="O12" i="1" s="1"/>
  <c r="N13" i="1"/>
  <c r="O13" i="1" s="1"/>
  <c r="D12" i="1"/>
  <c r="E12" i="1" s="1"/>
  <c r="E3" i="1"/>
  <c r="E4" i="1"/>
  <c r="E5" i="1"/>
  <c r="E6" i="1"/>
  <c r="E9" i="1"/>
  <c r="E10" i="1"/>
  <c r="E11" i="1"/>
  <c r="E13" i="1"/>
  <c r="E14" i="1"/>
  <c r="E15" i="1"/>
  <c r="E16" i="1"/>
  <c r="E17" i="1"/>
  <c r="E18" i="1"/>
  <c r="E20" i="1"/>
  <c r="E21" i="1"/>
  <c r="E22" i="1"/>
  <c r="E7" i="1"/>
  <c r="C8" i="1"/>
  <c r="E8" i="1" s="1"/>
  <c r="K12" i="1" l="1"/>
  <c r="R12" i="1"/>
  <c r="S13" i="1" s="1"/>
  <c r="K13" i="1" s="1"/>
  <c r="T12" i="1"/>
  <c r="R13" i="1"/>
  <c r="I3" i="1"/>
  <c r="T13" i="1" l="1"/>
</calcChain>
</file>

<file path=xl/sharedStrings.xml><?xml version="1.0" encoding="utf-8"?>
<sst xmlns="http://schemas.openxmlformats.org/spreadsheetml/2006/main" count="17" uniqueCount="17">
  <si>
    <t>Date</t>
  </si>
  <si>
    <t>Day Trade</t>
  </si>
  <si>
    <t>Kygo</t>
  </si>
  <si>
    <t>Total</t>
  </si>
  <si>
    <t>Sum</t>
  </si>
  <si>
    <t>Share Count</t>
  </si>
  <si>
    <t>Price Per Share</t>
  </si>
  <si>
    <t>Investor Shares</t>
  </si>
  <si>
    <t>Ownership A-1</t>
  </si>
  <si>
    <t>Pre Money</t>
  </si>
  <si>
    <t>Raise</t>
  </si>
  <si>
    <t>Postmoney</t>
  </si>
  <si>
    <t>Founders</t>
  </si>
  <si>
    <t>A-1</t>
  </si>
  <si>
    <t>A-2</t>
  </si>
  <si>
    <t>Pre Price</t>
  </si>
  <si>
    <t>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</si>
</sst>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1" applyNumberFormat="1" applyFont="1"/>
    <xf numFmtId="44" fontId="0" fillId="0" borderId="0" xfId="2" applyFont="1"/>
    <xf numFmtId="165" fontId="0" fillId="0" borderId="0" xfId="3" applyNumberFormat="1" applyFont="1"/>
    <xf numFmtId="10" fontId="0" fillId="0" borderId="0" xfId="3" applyNumberFormat="1" applyFont="1"/>
    <xf numFmtId="16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43AE-B803-2240-AFCB-02460BB0F959}">
  <dimension ref="B2:T63"/>
  <sheetViews>
    <sheetView tabSelected="1" topLeftCell="A41" workbookViewId="0">
      <selection activeCell="C64" sqref="C64"/>
    </sheetView>
  </sheetViews>
  <sheetFormatPr baseColWidth="10" defaultRowHeight="16" x14ac:dyDescent="0.2"/>
  <cols>
    <col min="11" max="11" width="13" bestFit="1" customWidth="1"/>
    <col min="12" max="12" width="14" bestFit="1" customWidth="1"/>
    <col min="13" max="13" width="13" bestFit="1" customWidth="1"/>
    <col min="14" max="14" width="12.5" bestFit="1" customWidth="1"/>
    <col min="19" max="19" width="11.5" bestFit="1" customWidth="1"/>
  </cols>
  <sheetData>
    <row r="2" spans="2:20" x14ac:dyDescent="0.2">
      <c r="B2" t="s">
        <v>0</v>
      </c>
      <c r="C2" t="s">
        <v>1</v>
      </c>
      <c r="D2" t="s">
        <v>2</v>
      </c>
      <c r="E2" t="s">
        <v>3</v>
      </c>
    </row>
    <row r="3" spans="2:20" x14ac:dyDescent="0.2">
      <c r="B3" s="1">
        <v>44889</v>
      </c>
      <c r="C3">
        <v>1800</v>
      </c>
      <c r="E3">
        <f t="shared" ref="E3:E6" si="0">SUM(C3:D3)</f>
        <v>1800</v>
      </c>
      <c r="H3" t="s">
        <v>4</v>
      </c>
      <c r="I3" s="3">
        <f>SUM(E:E)</f>
        <v>9557</v>
      </c>
    </row>
    <row r="4" spans="2:20" x14ac:dyDescent="0.2">
      <c r="B4" s="1">
        <v>44890</v>
      </c>
      <c r="C4">
        <v>1400</v>
      </c>
      <c r="E4">
        <f t="shared" si="0"/>
        <v>1400</v>
      </c>
      <c r="H4" t="s">
        <v>16</v>
      </c>
      <c r="I4" s="3">
        <f>SUM(E28:E207)</f>
        <v>9062</v>
      </c>
    </row>
    <row r="5" spans="2:20" x14ac:dyDescent="0.2">
      <c r="B5" s="1">
        <v>44893</v>
      </c>
      <c r="C5">
        <v>900</v>
      </c>
      <c r="E5">
        <f t="shared" si="0"/>
        <v>900</v>
      </c>
    </row>
    <row r="6" spans="2:20" x14ac:dyDescent="0.2">
      <c r="B6" s="1">
        <v>44894</v>
      </c>
      <c r="C6">
        <v>500</v>
      </c>
      <c r="E6">
        <f t="shared" si="0"/>
        <v>500</v>
      </c>
    </row>
    <row r="7" spans="2:20" x14ac:dyDescent="0.2">
      <c r="B7" s="1">
        <v>44895</v>
      </c>
      <c r="C7">
        <v>2300</v>
      </c>
      <c r="E7">
        <f>SUM(C7:D7)</f>
        <v>2300</v>
      </c>
      <c r="K7" t="s">
        <v>5</v>
      </c>
      <c r="L7" s="3">
        <v>1000000</v>
      </c>
    </row>
    <row r="8" spans="2:20" x14ac:dyDescent="0.2">
      <c r="B8" s="1">
        <v>44896</v>
      </c>
      <c r="C8">
        <f>-210-235</f>
        <v>-445</v>
      </c>
      <c r="D8">
        <v>-63</v>
      </c>
      <c r="E8">
        <f>SUM(C8:D8)</f>
        <v>-508</v>
      </c>
    </row>
    <row r="9" spans="2:20" x14ac:dyDescent="0.2">
      <c r="B9" s="1">
        <v>44897</v>
      </c>
      <c r="C9">
        <v>-1345</v>
      </c>
      <c r="D9">
        <v>600</v>
      </c>
      <c r="E9">
        <f t="shared" ref="E9:E32" si="1">SUM(C9:D9)</f>
        <v>-745</v>
      </c>
    </row>
    <row r="10" spans="2:20" x14ac:dyDescent="0.2">
      <c r="B10" s="1">
        <v>44899</v>
      </c>
      <c r="C10">
        <v>-348</v>
      </c>
      <c r="D10">
        <v>-265</v>
      </c>
      <c r="E10">
        <f t="shared" si="1"/>
        <v>-613</v>
      </c>
      <c r="L10" t="s">
        <v>9</v>
      </c>
      <c r="M10" t="s">
        <v>10</v>
      </c>
      <c r="N10" t="s">
        <v>11</v>
      </c>
      <c r="Q10" t="s">
        <v>15</v>
      </c>
      <c r="R10" t="s">
        <v>6</v>
      </c>
      <c r="S10" t="s">
        <v>7</v>
      </c>
      <c r="T10" t="s">
        <v>8</v>
      </c>
    </row>
    <row r="11" spans="2:20" x14ac:dyDescent="0.2">
      <c r="B11" s="1">
        <v>44900</v>
      </c>
      <c r="C11">
        <v>-451</v>
      </c>
      <c r="D11">
        <v>-341</v>
      </c>
      <c r="E11">
        <f t="shared" si="1"/>
        <v>-792</v>
      </c>
      <c r="J11" t="s">
        <v>12</v>
      </c>
      <c r="K11" s="7">
        <f>L7</f>
        <v>1000000</v>
      </c>
      <c r="L11" s="3">
        <v>50000000</v>
      </c>
      <c r="R11" s="4">
        <f>L11/K11</f>
        <v>50</v>
      </c>
    </row>
    <row r="12" spans="2:20" x14ac:dyDescent="0.2">
      <c r="B12" s="1">
        <v>44901</v>
      </c>
      <c r="C12">
        <v>-2805</v>
      </c>
      <c r="D12">
        <f>-75-71</f>
        <v>-146</v>
      </c>
      <c r="E12">
        <f t="shared" si="1"/>
        <v>-2951</v>
      </c>
      <c r="J12" t="s">
        <v>13</v>
      </c>
      <c r="K12" s="7">
        <f>K11+S12</f>
        <v>1200000</v>
      </c>
      <c r="L12" s="3">
        <v>50000000</v>
      </c>
      <c r="M12" s="3">
        <v>10000000</v>
      </c>
      <c r="N12" s="3">
        <f>L12+M12</f>
        <v>60000000</v>
      </c>
      <c r="O12" s="5">
        <f>M12/N12</f>
        <v>0.16666666666666666</v>
      </c>
      <c r="R12" s="4">
        <f>N12/K11</f>
        <v>60</v>
      </c>
      <c r="S12" s="2">
        <f>M12/R11</f>
        <v>200000</v>
      </c>
      <c r="T12" s="6">
        <f>S12/K12</f>
        <v>0.16666666666666666</v>
      </c>
    </row>
    <row r="13" spans="2:20" x14ac:dyDescent="0.2">
      <c r="B13" s="1">
        <v>44902</v>
      </c>
      <c r="C13">
        <v>-250</v>
      </c>
      <c r="D13">
        <v>293</v>
      </c>
      <c r="E13">
        <f t="shared" si="1"/>
        <v>43</v>
      </c>
      <c r="J13" t="s">
        <v>14</v>
      </c>
      <c r="K13" s="7">
        <f>K12+S13</f>
        <v>1366666.6666666667</v>
      </c>
      <c r="L13" s="3">
        <v>90000000</v>
      </c>
      <c r="M13" s="3">
        <v>10000000</v>
      </c>
      <c r="N13" s="3">
        <f>L13+M13</f>
        <v>100000000</v>
      </c>
      <c r="O13" s="5">
        <f>M13/N13</f>
        <v>0.1</v>
      </c>
      <c r="R13" s="4">
        <f>N13/L7</f>
        <v>100</v>
      </c>
      <c r="S13" s="2">
        <f>M13/R12</f>
        <v>166666.66666666666</v>
      </c>
      <c r="T13" s="6">
        <f>S12/K13</f>
        <v>0.14634146341463414</v>
      </c>
    </row>
    <row r="14" spans="2:20" x14ac:dyDescent="0.2">
      <c r="B14" s="1">
        <v>44903</v>
      </c>
      <c r="C14">
        <v>-229</v>
      </c>
      <c r="D14">
        <v>-190</v>
      </c>
      <c r="E14">
        <f t="shared" si="1"/>
        <v>-419</v>
      </c>
    </row>
    <row r="15" spans="2:20" x14ac:dyDescent="0.2">
      <c r="B15" s="1">
        <v>44907</v>
      </c>
      <c r="C15">
        <v>636</v>
      </c>
      <c r="D15">
        <v>0</v>
      </c>
      <c r="E15">
        <f t="shared" si="1"/>
        <v>636</v>
      </c>
    </row>
    <row r="16" spans="2:20" x14ac:dyDescent="0.2">
      <c r="B16" s="1">
        <v>44908</v>
      </c>
      <c r="C16">
        <v>576</v>
      </c>
      <c r="D16">
        <v>-211</v>
      </c>
      <c r="E16">
        <f t="shared" si="1"/>
        <v>365</v>
      </c>
    </row>
    <row r="17" spans="2:5" x14ac:dyDescent="0.2">
      <c r="B17" s="1">
        <v>44909</v>
      </c>
      <c r="C17">
        <v>-725</v>
      </c>
      <c r="D17">
        <v>-410</v>
      </c>
      <c r="E17">
        <f t="shared" si="1"/>
        <v>-1135</v>
      </c>
    </row>
    <row r="18" spans="2:5" x14ac:dyDescent="0.2">
      <c r="B18" s="1">
        <v>44910</v>
      </c>
      <c r="C18">
        <v>840</v>
      </c>
      <c r="D18">
        <v>-724</v>
      </c>
      <c r="E18">
        <f t="shared" si="1"/>
        <v>116</v>
      </c>
    </row>
    <row r="19" spans="2:5" x14ac:dyDescent="0.2">
      <c r="B19" s="1">
        <v>44911</v>
      </c>
      <c r="C19">
        <f>550+-640</f>
        <v>-90</v>
      </c>
      <c r="D19">
        <v>0</v>
      </c>
      <c r="E19">
        <f t="shared" si="1"/>
        <v>-90</v>
      </c>
    </row>
    <row r="20" spans="2:5" x14ac:dyDescent="0.2">
      <c r="B20" s="1">
        <v>44914</v>
      </c>
      <c r="C20">
        <f>331.25+50.75</f>
        <v>382</v>
      </c>
      <c r="D20">
        <v>0</v>
      </c>
      <c r="E20">
        <f t="shared" si="1"/>
        <v>382</v>
      </c>
    </row>
    <row r="21" spans="2:5" x14ac:dyDescent="0.2">
      <c r="B21" s="1">
        <v>44915</v>
      </c>
      <c r="C21">
        <v>-121</v>
      </c>
      <c r="D21">
        <v>0</v>
      </c>
      <c r="E21">
        <f t="shared" si="1"/>
        <v>-121</v>
      </c>
    </row>
    <row r="22" spans="2:5" x14ac:dyDescent="0.2">
      <c r="B22" s="1">
        <v>44916</v>
      </c>
      <c r="C22">
        <v>-120</v>
      </c>
      <c r="E22">
        <f t="shared" si="1"/>
        <v>-120</v>
      </c>
    </row>
    <row r="23" spans="2:5" x14ac:dyDescent="0.2">
      <c r="B23" s="1">
        <v>44917</v>
      </c>
      <c r="C23">
        <v>500</v>
      </c>
      <c r="E23">
        <f t="shared" si="1"/>
        <v>500</v>
      </c>
    </row>
    <row r="24" spans="2:5" x14ac:dyDescent="0.2">
      <c r="B24" s="1">
        <v>44922</v>
      </c>
      <c r="C24">
        <v>220</v>
      </c>
      <c r="D24">
        <v>-381</v>
      </c>
      <c r="E24">
        <f t="shared" si="1"/>
        <v>-161</v>
      </c>
    </row>
    <row r="25" spans="2:5" x14ac:dyDescent="0.2">
      <c r="B25" s="1">
        <v>44923</v>
      </c>
      <c r="C25">
        <v>510</v>
      </c>
      <c r="D25">
        <v>-80</v>
      </c>
      <c r="E25">
        <f t="shared" si="1"/>
        <v>430</v>
      </c>
    </row>
    <row r="26" spans="2:5" x14ac:dyDescent="0.2">
      <c r="B26" s="1">
        <v>44924</v>
      </c>
      <c r="C26">
        <v>295</v>
      </c>
      <c r="D26">
        <f>-248+57</f>
        <v>-191</v>
      </c>
      <c r="E26">
        <f t="shared" si="1"/>
        <v>104</v>
      </c>
    </row>
    <row r="27" spans="2:5" x14ac:dyDescent="0.2">
      <c r="B27" s="1">
        <v>44925</v>
      </c>
      <c r="C27">
        <v>-1516</v>
      </c>
      <c r="D27">
        <v>190</v>
      </c>
      <c r="E27">
        <f t="shared" si="1"/>
        <v>-1326</v>
      </c>
    </row>
    <row r="28" spans="2:5" x14ac:dyDescent="0.2">
      <c r="B28" s="1">
        <v>44929</v>
      </c>
      <c r="C28">
        <v>-905</v>
      </c>
      <c r="D28">
        <v>284</v>
      </c>
      <c r="E28">
        <f t="shared" si="1"/>
        <v>-621</v>
      </c>
    </row>
    <row r="29" spans="2:5" x14ac:dyDescent="0.2">
      <c r="B29" s="1">
        <v>44930</v>
      </c>
      <c r="C29">
        <v>420</v>
      </c>
      <c r="D29">
        <v>208</v>
      </c>
      <c r="E29">
        <f t="shared" si="1"/>
        <v>628</v>
      </c>
    </row>
    <row r="30" spans="2:5" x14ac:dyDescent="0.2">
      <c r="B30" s="1">
        <v>44931</v>
      </c>
      <c r="C30">
        <v>195</v>
      </c>
      <c r="D30">
        <v>-115</v>
      </c>
      <c r="E30">
        <f t="shared" si="1"/>
        <v>80</v>
      </c>
    </row>
    <row r="31" spans="2:5" x14ac:dyDescent="0.2">
      <c r="B31" s="1">
        <v>44932</v>
      </c>
      <c r="C31">
        <v>842</v>
      </c>
      <c r="D31">
        <f>640+225</f>
        <v>865</v>
      </c>
      <c r="E31">
        <f t="shared" si="1"/>
        <v>1707</v>
      </c>
    </row>
    <row r="32" spans="2:5" x14ac:dyDescent="0.2">
      <c r="B32" s="1">
        <v>44933</v>
      </c>
      <c r="C32">
        <v>179</v>
      </c>
      <c r="D32">
        <f>141+665</f>
        <v>806</v>
      </c>
      <c r="E32">
        <f t="shared" si="1"/>
        <v>985</v>
      </c>
    </row>
    <row r="33" spans="2:5" x14ac:dyDescent="0.2">
      <c r="B33" s="1">
        <v>44934</v>
      </c>
      <c r="C33">
        <v>206</v>
      </c>
      <c r="D33">
        <v>165</v>
      </c>
      <c r="E33">
        <f t="shared" ref="E33:E62" si="2">SUM(C33:D33)</f>
        <v>371</v>
      </c>
    </row>
    <row r="34" spans="2:5" x14ac:dyDescent="0.2">
      <c r="B34" s="1">
        <v>44935</v>
      </c>
      <c r="C34">
        <v>52</v>
      </c>
      <c r="D34">
        <v>95</v>
      </c>
      <c r="E34">
        <f t="shared" si="2"/>
        <v>147</v>
      </c>
    </row>
    <row r="35" spans="2:5" x14ac:dyDescent="0.2">
      <c r="B35" s="1">
        <v>44936</v>
      </c>
      <c r="C35">
        <f>276+1125</f>
        <v>1401</v>
      </c>
      <c r="D35">
        <v>498</v>
      </c>
      <c r="E35">
        <f t="shared" si="2"/>
        <v>1899</v>
      </c>
    </row>
    <row r="36" spans="2:5" x14ac:dyDescent="0.2">
      <c r="B36" s="1">
        <v>44937</v>
      </c>
      <c r="C36">
        <f>572+43+152</f>
        <v>767</v>
      </c>
      <c r="D36">
        <v>237</v>
      </c>
      <c r="E36">
        <f t="shared" si="2"/>
        <v>1004</v>
      </c>
    </row>
    <row r="37" spans="2:5" x14ac:dyDescent="0.2">
      <c r="B37" s="1">
        <v>44943</v>
      </c>
      <c r="C37">
        <v>509</v>
      </c>
      <c r="D37">
        <v>-20</v>
      </c>
      <c r="E37">
        <f t="shared" si="2"/>
        <v>489</v>
      </c>
    </row>
    <row r="38" spans="2:5" x14ac:dyDescent="0.2">
      <c r="B38" s="1">
        <v>44944</v>
      </c>
      <c r="C38">
        <v>-742</v>
      </c>
      <c r="D38">
        <v>-528</v>
      </c>
      <c r="E38">
        <f t="shared" si="2"/>
        <v>-1270</v>
      </c>
    </row>
    <row r="39" spans="2:5" x14ac:dyDescent="0.2">
      <c r="B39" s="1">
        <v>44946</v>
      </c>
      <c r="C39">
        <f>142+559</f>
        <v>701</v>
      </c>
      <c r="D39">
        <v>511</v>
      </c>
      <c r="E39">
        <f t="shared" si="2"/>
        <v>1212</v>
      </c>
    </row>
    <row r="40" spans="2:5" x14ac:dyDescent="0.2">
      <c r="B40" s="1">
        <v>44949</v>
      </c>
      <c r="C40">
        <v>705</v>
      </c>
      <c r="D40">
        <v>313</v>
      </c>
      <c r="E40">
        <f t="shared" si="2"/>
        <v>1018</v>
      </c>
    </row>
    <row r="41" spans="2:5" x14ac:dyDescent="0.2">
      <c r="B41" s="1">
        <v>44950</v>
      </c>
      <c r="C41">
        <v>269</v>
      </c>
      <c r="D41">
        <v>111</v>
      </c>
      <c r="E41">
        <f t="shared" si="2"/>
        <v>380</v>
      </c>
    </row>
    <row r="42" spans="2:5" x14ac:dyDescent="0.2">
      <c r="B42" s="1">
        <v>44951</v>
      </c>
      <c r="C42">
        <f>971-45</f>
        <v>926</v>
      </c>
      <c r="D42">
        <v>-452</v>
      </c>
      <c r="E42">
        <f t="shared" si="2"/>
        <v>474</v>
      </c>
    </row>
    <row r="43" spans="2:5" x14ac:dyDescent="0.2">
      <c r="B43" s="1">
        <v>44952</v>
      </c>
      <c r="C43">
        <v>-120</v>
      </c>
      <c r="D43">
        <v>766</v>
      </c>
      <c r="E43">
        <f t="shared" si="2"/>
        <v>646</v>
      </c>
    </row>
    <row r="44" spans="2:5" x14ac:dyDescent="0.2">
      <c r="B44" s="1">
        <v>44953</v>
      </c>
      <c r="C44">
        <v>228</v>
      </c>
      <c r="D44">
        <v>286</v>
      </c>
      <c r="E44">
        <f t="shared" si="2"/>
        <v>514</v>
      </c>
    </row>
    <row r="45" spans="2:5" x14ac:dyDescent="0.2">
      <c r="B45" s="1">
        <v>44956</v>
      </c>
      <c r="C45">
        <v>-194</v>
      </c>
      <c r="D45">
        <v>-488</v>
      </c>
      <c r="E45">
        <f t="shared" si="2"/>
        <v>-682</v>
      </c>
    </row>
    <row r="46" spans="2:5" x14ac:dyDescent="0.2">
      <c r="B46" s="1">
        <v>44957</v>
      </c>
      <c r="C46">
        <v>157</v>
      </c>
      <c r="D46">
        <f>657-30</f>
        <v>627</v>
      </c>
      <c r="E46">
        <f t="shared" si="2"/>
        <v>784</v>
      </c>
    </row>
    <row r="47" spans="2:5" x14ac:dyDescent="0.2">
      <c r="B47" s="1">
        <v>44958</v>
      </c>
      <c r="C47">
        <v>-166</v>
      </c>
      <c r="D47">
        <v>729</v>
      </c>
      <c r="E47">
        <f t="shared" si="2"/>
        <v>563</v>
      </c>
    </row>
    <row r="48" spans="2:5" x14ac:dyDescent="0.2">
      <c r="B48" s="1">
        <v>44959</v>
      </c>
      <c r="C48">
        <v>803</v>
      </c>
      <c r="D48">
        <v>806</v>
      </c>
      <c r="E48">
        <f t="shared" si="2"/>
        <v>1609</v>
      </c>
    </row>
    <row r="49" spans="2:5" x14ac:dyDescent="0.2">
      <c r="B49" s="1">
        <v>44960</v>
      </c>
      <c r="C49">
        <v>-82</v>
      </c>
      <c r="D49">
        <v>-137</v>
      </c>
      <c r="E49">
        <f t="shared" si="2"/>
        <v>-219</v>
      </c>
    </row>
    <row r="50" spans="2:5" x14ac:dyDescent="0.2">
      <c r="B50" s="1">
        <v>44963</v>
      </c>
      <c r="C50">
        <v>-270</v>
      </c>
      <c r="D50">
        <v>-466</v>
      </c>
      <c r="E50">
        <f t="shared" si="2"/>
        <v>-736</v>
      </c>
    </row>
    <row r="51" spans="2:5" x14ac:dyDescent="0.2">
      <c r="B51" s="1">
        <v>44964</v>
      </c>
      <c r="C51">
        <v>195</v>
      </c>
      <c r="D51">
        <v>1280</v>
      </c>
      <c r="E51">
        <f t="shared" si="2"/>
        <v>1475</v>
      </c>
    </row>
    <row r="52" spans="2:5" x14ac:dyDescent="0.2">
      <c r="B52" s="1">
        <v>44965</v>
      </c>
      <c r="C52">
        <v>0</v>
      </c>
      <c r="D52">
        <v>-460</v>
      </c>
      <c r="E52">
        <f t="shared" si="2"/>
        <v>-460</v>
      </c>
    </row>
    <row r="53" spans="2:5" x14ac:dyDescent="0.2">
      <c r="B53" s="1">
        <v>44966</v>
      </c>
      <c r="C53">
        <v>-1200</v>
      </c>
      <c r="D53">
        <v>-644</v>
      </c>
      <c r="E53">
        <f t="shared" si="2"/>
        <v>-1844</v>
      </c>
    </row>
    <row r="54" spans="2:5" x14ac:dyDescent="0.2">
      <c r="B54" s="1">
        <v>44967</v>
      </c>
      <c r="C54">
        <v>0</v>
      </c>
      <c r="D54">
        <v>68</v>
      </c>
      <c r="E54">
        <f t="shared" si="2"/>
        <v>68</v>
      </c>
    </row>
    <row r="55" spans="2:5" x14ac:dyDescent="0.2">
      <c r="B55" s="1">
        <v>44970</v>
      </c>
      <c r="C55">
        <v>299</v>
      </c>
      <c r="D55">
        <f>460-129</f>
        <v>331</v>
      </c>
      <c r="E55">
        <f t="shared" si="2"/>
        <v>630</v>
      </c>
    </row>
    <row r="56" spans="2:5" x14ac:dyDescent="0.2">
      <c r="B56" s="1">
        <v>44971</v>
      </c>
      <c r="C56">
        <f>606+54</f>
        <v>660</v>
      </c>
      <c r="D56">
        <v>-140</v>
      </c>
      <c r="E56">
        <f t="shared" si="2"/>
        <v>520</v>
      </c>
    </row>
    <row r="57" spans="2:5" x14ac:dyDescent="0.2">
      <c r="B57" s="1">
        <v>44972</v>
      </c>
      <c r="C57">
        <f>-351+178</f>
        <v>-173</v>
      </c>
      <c r="D57">
        <v>142</v>
      </c>
      <c r="E57">
        <f t="shared" si="2"/>
        <v>-31</v>
      </c>
    </row>
    <row r="58" spans="2:5" x14ac:dyDescent="0.2">
      <c r="B58" s="1">
        <v>44973</v>
      </c>
      <c r="C58">
        <v>0</v>
      </c>
      <c r="D58">
        <v>-150</v>
      </c>
      <c r="E58">
        <f t="shared" si="2"/>
        <v>-150</v>
      </c>
    </row>
    <row r="59" spans="2:5" x14ac:dyDescent="0.2">
      <c r="B59" s="1">
        <v>44974</v>
      </c>
      <c r="C59">
        <v>211</v>
      </c>
      <c r="D59">
        <f>-293-170</f>
        <v>-463</v>
      </c>
      <c r="E59">
        <f t="shared" si="2"/>
        <v>-252</v>
      </c>
    </row>
    <row r="60" spans="2:5" x14ac:dyDescent="0.2">
      <c r="B60" s="1">
        <v>44978</v>
      </c>
      <c r="C60">
        <v>260</v>
      </c>
      <c r="D60">
        <v>-118</v>
      </c>
      <c r="E60">
        <f t="shared" si="2"/>
        <v>142</v>
      </c>
    </row>
    <row r="61" spans="2:5" x14ac:dyDescent="0.2">
      <c r="B61" s="1">
        <v>44979</v>
      </c>
      <c r="C61">
        <f>-1200+44-132-260</f>
        <v>-1548</v>
      </c>
      <c r="D61">
        <f>-388-240</f>
        <v>-628</v>
      </c>
      <c r="E61">
        <f t="shared" si="2"/>
        <v>-2176</v>
      </c>
    </row>
    <row r="62" spans="2:5" x14ac:dyDescent="0.2">
      <c r="B62" s="1">
        <v>44980</v>
      </c>
      <c r="C62">
        <v>0</v>
      </c>
      <c r="D62">
        <v>158</v>
      </c>
      <c r="E62">
        <f t="shared" si="2"/>
        <v>158</v>
      </c>
    </row>
    <row r="63" spans="2:5" x14ac:dyDescent="0.2">
      <c r="B63" s="1">
        <v>44981</v>
      </c>
      <c r="C63">
        <f>40-600</f>
        <v>-560</v>
      </c>
      <c r="D63">
        <v>-110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Moilanen</dc:creator>
  <cp:lastModifiedBy>Jake Moilanen</cp:lastModifiedBy>
  <dcterms:created xsi:type="dcterms:W3CDTF">2022-12-01T23:22:47Z</dcterms:created>
  <dcterms:modified xsi:type="dcterms:W3CDTF">2023-02-24T21:22:44Z</dcterms:modified>
</cp:coreProperties>
</file>